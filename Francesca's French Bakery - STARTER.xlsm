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a430de3d5e1843b/Escritorio/Final_Projects/"/>
    </mc:Choice>
  </mc:AlternateContent>
  <xr:revisionPtr revIDLastSave="120" documentId="13_ncr:1_{FD0DAE38-1C8C-4992-9AD2-D950107949E5}" xr6:coauthVersionLast="47" xr6:coauthVersionMax="47" xr10:uidLastSave="{CB69664B-D538-47BB-9ECC-D94763655EC0}"/>
  <bookViews>
    <workbookView xWindow="-120" yWindow="-120" windowWidth="23280" windowHeight="11115" xr2:uid="{C5B65098-3FCF-44CF-8825-167AD11AB2C2}"/>
  </bookViews>
  <sheets>
    <sheet name="Dashboard" sheetId="2" r:id="rId1"/>
    <sheet name="Recipe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7" i="1" l="1"/>
  <c r="L27" i="1"/>
  <c r="H28" i="1"/>
  <c r="H29" i="1"/>
  <c r="H30" i="1"/>
  <c r="H31" i="1"/>
  <c r="H32" i="1"/>
  <c r="H33" i="1"/>
  <c r="H34" i="1"/>
  <c r="H35" i="1"/>
  <c r="H36" i="1"/>
  <c r="D28" i="1"/>
  <c r="D29" i="1"/>
  <c r="D30" i="1"/>
  <c r="D31" i="1"/>
  <c r="D32" i="1"/>
  <c r="D33" i="1"/>
  <c r="D34" i="1"/>
  <c r="D35" i="1"/>
  <c r="D36" i="1"/>
  <c r="D37" i="1"/>
  <c r="D27" i="1"/>
  <c r="L9" i="1"/>
  <c r="L10" i="1"/>
  <c r="L11" i="1"/>
  <c r="L12" i="1"/>
  <c r="L13" i="1"/>
  <c r="L14" i="1"/>
  <c r="L15" i="1"/>
  <c r="L8" i="1"/>
  <c r="H9" i="1"/>
  <c r="H10" i="1"/>
  <c r="H11" i="1"/>
  <c r="H12" i="1"/>
  <c r="H13" i="1"/>
  <c r="H14" i="1"/>
  <c r="H15" i="1"/>
  <c r="H16" i="1"/>
  <c r="H17" i="1"/>
  <c r="H8" i="1"/>
  <c r="D8" i="1"/>
  <c r="D9" i="1"/>
  <c r="D10" i="1"/>
  <c r="D11" i="1"/>
  <c r="D12" i="1"/>
  <c r="D13" i="1"/>
  <c r="D14" i="1"/>
  <c r="D15" i="1"/>
  <c r="D16" i="1"/>
  <c r="F19" i="1"/>
  <c r="J40" i="1"/>
  <c r="J5" i="2" l="1" a="1"/>
  <c r="J5" i="2" s="1"/>
  <c r="L5" i="2" s="1"/>
  <c r="F40" i="1"/>
  <c r="B40" i="1"/>
  <c r="J19" i="1"/>
  <c r="B19" i="1"/>
  <c r="L38" i="1"/>
  <c r="L37" i="1"/>
  <c r="L36" i="1"/>
  <c r="L35" i="1"/>
  <c r="L34" i="1"/>
  <c r="L33" i="1"/>
  <c r="L32" i="1"/>
  <c r="L31" i="1"/>
  <c r="L30" i="1"/>
  <c r="L29" i="1"/>
  <c r="E5" i="2" a="1"/>
  <c r="E5" i="2" s="1"/>
  <c r="B11" i="2"/>
  <c r="B10" i="2"/>
  <c r="B9" i="2"/>
  <c r="B8" i="2"/>
  <c r="B7" i="2"/>
  <c r="B6" i="2"/>
  <c r="F12" i="2" l="1"/>
  <c r="K12" i="2" s="1"/>
  <c r="F20" i="2"/>
  <c r="K20" i="2" s="1"/>
  <c r="F22" i="2"/>
  <c r="K22" i="2" s="1"/>
  <c r="F13" i="2"/>
  <c r="K13" i="2" s="1"/>
  <c r="F21" i="2"/>
  <c r="K21" i="2" s="1"/>
  <c r="F14" i="2"/>
  <c r="K14" i="2" s="1"/>
  <c r="F6" i="2"/>
  <c r="K6" i="2" s="1"/>
  <c r="F7" i="2"/>
  <c r="F15" i="2"/>
  <c r="K15" i="2" s="1"/>
  <c r="F5" i="2"/>
  <c r="K5" i="2" s="1"/>
  <c r="F8" i="2"/>
  <c r="K8" i="2" s="1"/>
  <c r="F16" i="2"/>
  <c r="K16" i="2" s="1"/>
  <c r="F11" i="2"/>
  <c r="K11" i="2" s="1"/>
  <c r="F9" i="2"/>
  <c r="K9" i="2" s="1"/>
  <c r="F17" i="2"/>
  <c r="K17" i="2" s="1"/>
  <c r="F19" i="2"/>
  <c r="K19" i="2" s="1"/>
  <c r="F10" i="2"/>
  <c r="K10" i="2" s="1"/>
  <c r="F18" i="2"/>
  <c r="K18" i="2" s="1"/>
  <c r="A8" i="1"/>
  <c r="L17" i="2"/>
  <c r="L20" i="2"/>
  <c r="L12" i="2"/>
  <c r="L19" i="2"/>
  <c r="L11" i="2"/>
  <c r="L18" i="2"/>
  <c r="L10" i="2"/>
  <c r="L16" i="2"/>
  <c r="L15" i="2"/>
  <c r="L7" i="2"/>
  <c r="L9" i="2"/>
  <c r="L8" i="2"/>
  <c r="L22" i="2"/>
  <c r="L14" i="2"/>
  <c r="L6" i="2"/>
  <c r="L21" i="2"/>
  <c r="L13" i="2"/>
  <c r="K7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<sst xmlns="http://schemas.openxmlformats.org/spreadsheetml/2006/main" count="182" uniqueCount="94">
  <si>
    <t>Eggs</t>
  </si>
  <si>
    <t>Sugar</t>
  </si>
  <si>
    <t>Flour</t>
  </si>
  <si>
    <t>Possible Ingredients</t>
  </si>
  <si>
    <t>Baking soda</t>
  </si>
  <si>
    <t>Baking powder</t>
  </si>
  <si>
    <t>Chocolate chips</t>
  </si>
  <si>
    <t>Salt</t>
  </si>
  <si>
    <t>Brown sugar</t>
  </si>
  <si>
    <t>Quantity</t>
  </si>
  <si>
    <t>What are we baking?</t>
  </si>
  <si>
    <t>Chocolate chip cookies</t>
  </si>
  <si>
    <t>Recipe</t>
  </si>
  <si>
    <t>Weekly Projections</t>
  </si>
  <si>
    <t>Butter</t>
  </si>
  <si>
    <t>Vanilla</t>
  </si>
  <si>
    <t>Quantity:</t>
  </si>
  <si>
    <t>Quanity:</t>
  </si>
  <si>
    <t>Heavy Cream</t>
  </si>
  <si>
    <t>Powdered Sugar</t>
  </si>
  <si>
    <t>Lemon Scones with Lemon Glaze</t>
  </si>
  <si>
    <t>Ginger Cookies</t>
  </si>
  <si>
    <t>Molasses</t>
  </si>
  <si>
    <t>Cinnamon</t>
  </si>
  <si>
    <t>Crystallized Ginger</t>
  </si>
  <si>
    <t>Chocolate Croissants</t>
  </si>
  <si>
    <t xml:space="preserve">Quantity: </t>
  </si>
  <si>
    <t>Yeast</t>
  </si>
  <si>
    <t>teaspoon(s)</t>
  </si>
  <si>
    <t>Cinnamon Twists</t>
  </si>
  <si>
    <t>cookies</t>
  </si>
  <si>
    <t>cup(s)</t>
  </si>
  <si>
    <t>tablespoon(s)</t>
  </si>
  <si>
    <t>New recipe:</t>
  </si>
  <si>
    <t>scones</t>
  </si>
  <si>
    <t>croissants</t>
  </si>
  <si>
    <t>twists</t>
  </si>
  <si>
    <t>(new recipe)</t>
  </si>
  <si>
    <t>items</t>
  </si>
  <si>
    <t>Units (cups, tablespoons, etc.)</t>
  </si>
  <si>
    <t>(none)</t>
  </si>
  <si>
    <t>Heavy cream</t>
  </si>
  <si>
    <t>Lemon juice</t>
  </si>
  <si>
    <t>Powdered sugar</t>
  </si>
  <si>
    <t>Lemon zest</t>
  </si>
  <si>
    <t>Crystallized ginger</t>
  </si>
  <si>
    <t>ounce(s)</t>
  </si>
  <si>
    <t>Batches Needed:</t>
  </si>
  <si>
    <t>Purchase as…</t>
  </si>
  <si>
    <t>dozen(s)</t>
  </si>
  <si>
    <t>17 cups/5 lb bag</t>
  </si>
  <si>
    <t>Conversion</t>
  </si>
  <si>
    <t>10 cups/5 lb bag</t>
  </si>
  <si>
    <t>5 lb bag(s)</t>
  </si>
  <si>
    <t>1 lb box(es)</t>
  </si>
  <si>
    <t>8.1 oz container(s)</t>
  </si>
  <si>
    <t>bag(s)</t>
  </si>
  <si>
    <t>26 oz container(s)</t>
  </si>
  <si>
    <t>2 lb bag(s)</t>
  </si>
  <si>
    <t>4.5 cups/bag</t>
  </si>
  <si>
    <t>12 oz bottle</t>
  </si>
  <si>
    <t>1.5 cups/bottle</t>
  </si>
  <si>
    <t>package(s)</t>
  </si>
  <si>
    <t>2 cups/package</t>
  </si>
  <si>
    <t>bottle(s)</t>
  </si>
  <si>
    <t>24 teaspoons/bottle</t>
  </si>
  <si>
    <t>114 teaspoons/box</t>
  </si>
  <si>
    <t>12 ounces/bag</t>
  </si>
  <si>
    <t>125 teaspoons/container</t>
  </si>
  <si>
    <t>box(es)</t>
  </si>
  <si>
    <t>65 teaspoons/box</t>
  </si>
  <si>
    <t>pint(s)</t>
  </si>
  <si>
    <t>2 cups/pint</t>
  </si>
  <si>
    <t>8 cups/bag</t>
  </si>
  <si>
    <t>30 tablespoons/bottle</t>
  </si>
  <si>
    <t>10 tablespoons/container</t>
  </si>
  <si>
    <t>container(s)</t>
  </si>
  <si>
    <t>2.7 cups/bag</t>
  </si>
  <si>
    <t>packets</t>
  </si>
  <si>
    <t>4 packets/ounce</t>
  </si>
  <si>
    <t>Weekly Amounts Needed</t>
  </si>
  <si>
    <t>12 eggs/dozen</t>
  </si>
  <si>
    <t>19 tablsespoons/container</t>
  </si>
  <si>
    <t>Ingredient</t>
  </si>
  <si>
    <t>Current Inventory</t>
  </si>
  <si>
    <t>*IMPORTANT: Do NOT change any of the recipes below, except for the "New recipe"</t>
  </si>
  <si>
    <t>*Do NOT change Current Inventory!</t>
  </si>
  <si>
    <t>*Do NOT change anything in the following table!</t>
  </si>
  <si>
    <t>Need to be purchased</t>
  </si>
  <si>
    <t>*The "Batched Needed" should be linked to quantities on the Dashboard tab (cells C6:C11)</t>
  </si>
  <si>
    <t>Francesca's French Bakery</t>
  </si>
  <si>
    <t>*Cell L27 needs to show units once</t>
  </si>
  <si>
    <t>an ingredient is selected in cell J27.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</si>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</sst>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Alignment="1">
      <alignment wrapText="1"/>
    </xf>
    <xf numFmtId="0" fontId="1" fillId="0" borderId="0" xfId="0" applyFont="1"/>
    <xf numFmtId="12" fontId="0" fillId="0" borderId="0" xfId="0" applyNumberFormat="1"/>
    <xf numFmtId="0" fontId="1" fillId="0" borderId="0" xfId="0" applyFont="1" applyAlignment="1">
      <alignment wrapText="1"/>
    </xf>
    <xf numFmtId="0" fontId="0" fillId="0" borderId="4" xfId="0" applyBorder="1"/>
    <xf numFmtId="0" fontId="1" fillId="0" borderId="4" xfId="0" applyFont="1" applyBorder="1" applyAlignment="1">
      <alignment wrapText="1"/>
    </xf>
    <xf numFmtId="12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0" fillId="0" borderId="7" xfId="0" applyBorder="1"/>
    <xf numFmtId="0" fontId="0" fillId="0" borderId="8" xfId="0" applyBorder="1"/>
    <xf numFmtId="0" fontId="1" fillId="0" borderId="5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wrapText="1"/>
    </xf>
    <xf numFmtId="12" fontId="0" fillId="0" borderId="16" xfId="0" applyNumberFormat="1" applyBorder="1" applyAlignment="1">
      <alignment horizontal="center"/>
    </xf>
    <xf numFmtId="12" fontId="0" fillId="0" borderId="17" xfId="0" applyNumberFormat="1" applyBorder="1" applyAlignment="1">
      <alignment horizontal="center"/>
    </xf>
    <xf numFmtId="0" fontId="2" fillId="0" borderId="0" xfId="0" applyFont="1"/>
    <xf numFmtId="12" fontId="2" fillId="0" borderId="0" xfId="0" applyNumberFormat="1" applyFont="1"/>
    <xf numFmtId="12" fontId="0" fillId="2" borderId="13" xfId="0" applyNumberFormat="1" applyFill="1" applyBorder="1"/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2" borderId="1" xfId="0" applyFill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2" borderId="22" xfId="0" applyFill="1" applyBorder="1"/>
    <xf numFmtId="12" fontId="0" fillId="0" borderId="23" xfId="0" applyNumberFormat="1" applyBorder="1" applyAlignment="1">
      <alignment horizontal="center"/>
    </xf>
    <xf numFmtId="12" fontId="0" fillId="0" borderId="24" xfId="0" applyNumberFormat="1" applyBorder="1" applyAlignment="1">
      <alignment horizontal="center"/>
    </xf>
    <xf numFmtId="12" fontId="0" fillId="2" borderId="13" xfId="0" quotePrefix="1" applyNumberFormat="1" applyFill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12</xdr:row>
          <xdr:rowOff>152400</xdr:rowOff>
        </xdr:from>
        <xdr:to>
          <xdr:col>1</xdr:col>
          <xdr:colOff>1743075</xdr:colOff>
          <xdr:row>15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327CE6-5606-475D-86E2-6A81B0A32561}" name="Table1" displayName="Table1" ref="N4:Q22" totalsRowShown="0" headerRowDxfId="0">
  <autoFilter ref="N4:Q22" xr:uid="{BE182C95-78F6-41C1-9A1B-66263F13F409}"/>
  <tableColumns count="4">
    <tableColumn id="1" xr3:uid="{DDE40220-264A-4760-8340-AF976C558643}" name="Possible Ingredients"/>
    <tableColumn id="2" xr3:uid="{B76D0884-6C16-4822-A206-EA1E276AA1E0}" name="Units (cups, tablespoons, etc.)"/>
    <tableColumn id="3" xr3:uid="{F7413515-A871-4DAE-BE42-941DE139B684}" name="Purchase as…"/>
    <tableColumn id="4" xr3:uid="{B1A853F4-3BCF-4567-A798-FF258738DFA3}" name="Conversion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78AD5-A6DB-4C1A-9066-EC1F5184817C}">
  <sheetPr codeName="Sheet2"/>
  <dimension ref="A1:L30"/>
  <sheetViews>
    <sheetView tabSelected="1" topLeftCell="B13" workbookViewId="0">
      <selection activeCell="C16" sqref="C16"/>
    </sheetView>
  </sheetViews>
  <sheetFormatPr defaultColWidth="8.85546875" defaultRowHeight="15" x14ac:dyDescent="0.25"/>
  <cols>
    <col min="2" max="2" width="31" customWidth="1"/>
    <col min="3" max="3" width="13.5703125" customWidth="1"/>
    <col min="4" max="4" width="11.28515625" bestFit="1" customWidth="1"/>
    <col min="5" max="5" width="18.28515625" customWidth="1"/>
    <col min="6" max="6" width="15.28515625" customWidth="1"/>
    <col min="7" max="7" width="9.140625" customWidth="1"/>
    <col min="8" max="8" width="18.7109375" customWidth="1"/>
    <col min="9" max="9" width="16" customWidth="1"/>
    <col min="10" max="10" width="15.140625" bestFit="1" customWidth="1"/>
    <col min="11" max="11" width="9" customWidth="1"/>
    <col min="12" max="12" width="15.28515625" bestFit="1" customWidth="1"/>
    <col min="13" max="13" width="15.140625" bestFit="1" customWidth="1"/>
    <col min="15" max="15" width="15.28515625" bestFit="1" customWidth="1"/>
  </cols>
  <sheetData>
    <row r="1" spans="1:12" x14ac:dyDescent="0.25">
      <c r="A1" s="5" t="s">
        <v>90</v>
      </c>
    </row>
    <row r="3" spans="1:12" ht="15.75" thickBot="1" x14ac:dyDescent="0.3"/>
    <row r="4" spans="1:12" ht="45.75" thickBot="1" x14ac:dyDescent="0.3">
      <c r="B4" s="42" t="s">
        <v>13</v>
      </c>
      <c r="C4" s="44"/>
      <c r="E4" s="24" t="s">
        <v>83</v>
      </c>
      <c r="F4" s="25" t="s">
        <v>80</v>
      </c>
      <c r="G4" s="25" t="s">
        <v>84</v>
      </c>
      <c r="H4" s="13"/>
      <c r="J4" s="42" t="s">
        <v>88</v>
      </c>
      <c r="K4" s="43"/>
      <c r="L4" s="44"/>
    </row>
    <row r="5" spans="1:12" ht="15.75" thickBot="1" x14ac:dyDescent="0.3">
      <c r="B5" s="18" t="s">
        <v>12</v>
      </c>
      <c r="C5" s="19" t="s">
        <v>9</v>
      </c>
      <c r="E5" s="22" t="str" cm="1">
        <f t="array" ref="E5:E22">Table1[Possible Ingredients]</f>
        <v>Eggs</v>
      </c>
      <c r="F5" s="41">
        <f>SUMIF(Recipes!$B$8:$B$16, Dashboard!E5, Recipes!$C$8:$C$16)*Recipes!$B$19+SUMIF(Recipes!$F$8:$F$17, Dashboard!E5, Recipes!$G$8:$G$17)*Recipes!$F$19+SUMIF(Recipes!$J$8:$J$15, Dashboard!E5, Recipes!$K$8:$K$15)*Recipes!$J$19+SUMIF(Recipes!$B$27:$B$37, Dashboard!E5, Recipes!$C$27:$C$37)*Recipes!$B$40+SUMIF(Recipes!$F$27:$F$36, Dashboard!E5, Recipes!$G$27:GT36)*Recipes!$F$40+SUMIF(Recipes!$J$27:$J$38, Dashboard!E5, Recipes!$K$27:$K$38)*Recipes!$J$40</f>
        <v>20</v>
      </c>
      <c r="G5" s="26">
        <v>5</v>
      </c>
      <c r="H5" s="23" t="s">
        <v>40</v>
      </c>
      <c r="J5" s="22" t="str" cm="1">
        <f t="array" ref="J5:J22">Table1[Possible Ingredients]</f>
        <v>Eggs</v>
      </c>
      <c r="K5" s="30">
        <f>IF((F5-G5)/LEFT(VLOOKUP(J5, Table1[], 4, FALSE), FIND(" ", VLOOKUP(J5, Table1[], 4, FALSE), 1))&lt; 0, 0, ROUNDUP((F5-G5)/LEFT(VLOOKUP(J5, Table1[], 4, FALSE), FIND(" ", VLOOKUP(J5, Table1[], 4, FALSE), 1)), 0))</f>
        <v>2</v>
      </c>
      <c r="L5" s="23" t="str">
        <f>INDEX(Table1[Purchase as…],MATCH(J5,Table1[Possible Ingredients],0))</f>
        <v>dozen(s)</v>
      </c>
    </row>
    <row r="6" spans="1:12" ht="15.75" thickBot="1" x14ac:dyDescent="0.3">
      <c r="B6" s="14" t="str">
        <f>Recipes!B4</f>
        <v>Chocolate chip cookies</v>
      </c>
      <c r="C6" s="31">
        <v>4</v>
      </c>
      <c r="E6" s="14" t="str">
        <v>Sugar</v>
      </c>
      <c r="F6" s="41">
        <f>SUMIF(Recipes!$B$8:$B$16, Dashboard!E6, Recipes!$C$8:$C$16)*Recipes!$B$19+SUMIF(Recipes!$F$8:$F$17, Dashboard!E6, Recipes!$G$8:$G$17)*Recipes!$F$19+SUMIF(Recipes!$J$8:$J$15, Dashboard!E6, Recipes!$K$8:$K$15)*Recipes!$J$19+SUMIF(Recipes!$B$27:$B$37, Dashboard!E6, Recipes!$C$27:$C$37)*Recipes!$B$40+SUMIF(Recipes!$F$27:$F$36, Dashboard!E6, Recipes!$G$27:GT37)*Recipes!$F$40+SUMIF(Recipes!$J$27:$J$38, Dashboard!E6, Recipes!$K$27:$K$38)*Recipes!$J$40</f>
        <v>10.25</v>
      </c>
      <c r="G6" s="10">
        <v>5</v>
      </c>
      <c r="H6" s="15" t="s">
        <v>31</v>
      </c>
      <c r="J6" s="14" t="str">
        <v>Sugar</v>
      </c>
      <c r="K6" s="30">
        <f>IF((F6-G6)/LEFT(VLOOKUP(J6, Table1[], 4, FALSE), FIND(" ", VLOOKUP(J6, Table1[], 4, FALSE), 1))&lt; 0, 0, ROUNDUP((F6-G6)/LEFT(VLOOKUP(J6, Table1[], 4, FALSE), FIND(" ", VLOOKUP(J6, Table1[], 4, FALSE), 1)), 0))</f>
        <v>1</v>
      </c>
      <c r="L6" s="15" t="str">
        <f>INDEX(Table1[Purchase as…],MATCH(J6,Table1[Possible Ingredients],0))</f>
        <v>5 lb bag(s)</v>
      </c>
    </row>
    <row r="7" spans="1:12" ht="15.75" thickBot="1" x14ac:dyDescent="0.3">
      <c r="B7" s="14" t="str">
        <f>Recipes!F4</f>
        <v>Lemon Scones with Lemon Glaze</v>
      </c>
      <c r="C7" s="32">
        <v>2</v>
      </c>
      <c r="E7" s="14" t="str">
        <v>Flour</v>
      </c>
      <c r="F7" s="41">
        <f>SUMIF(Recipes!$B$8:$B$16, Dashboard!E7, Recipes!$C$8:$C$16)*Recipes!$B$19+SUMIF(Recipes!$F$8:$F$17, Dashboard!E7, Recipes!$G$8:$G$17)*Recipes!$F$19+SUMIF(Recipes!$J$8:$J$15, Dashboard!E7, Recipes!$K$8:$K$15)*Recipes!$J$19+SUMIF(Recipes!$B$27:$B$37, Dashboard!E7, Recipes!$C$27:$C$37)*Recipes!$B$40+SUMIF(Recipes!$F$27:$F$36, Dashboard!E7, Recipes!$G$27:GT38)*Recipes!$F$40+SUMIF(Recipes!$J$27:$J$38, Dashboard!E7, Recipes!$K$27:$K$38)*Recipes!$J$40</f>
        <v>35</v>
      </c>
      <c r="G7" s="10">
        <v>13</v>
      </c>
      <c r="H7" s="15" t="s">
        <v>31</v>
      </c>
      <c r="J7" s="14" t="str">
        <v>Flour</v>
      </c>
      <c r="K7" s="30">
        <f>IF((F7-G7)/LEFT(L7, FIND(" ", L7))&lt; 0, 0, ROUNDUP((F7-G7)/LEFT(L7, FIND(" ", L7)), 0))</f>
        <v>5</v>
      </c>
      <c r="L7" s="15" t="str">
        <f>INDEX(Table1[Purchase as…],MATCH(J7,Table1[Possible Ingredients],0))</f>
        <v>5 lb bag(s)</v>
      </c>
    </row>
    <row r="8" spans="1:12" ht="15.75" thickBot="1" x14ac:dyDescent="0.3">
      <c r="B8" s="14" t="str">
        <f>Recipes!J4</f>
        <v>Ginger Cookies</v>
      </c>
      <c r="C8" s="32">
        <v>5</v>
      </c>
      <c r="E8" s="14" t="str">
        <v>Baking soda</v>
      </c>
      <c r="F8" s="41">
        <f>SUMIF(Recipes!$B$8:$B$16, Dashboard!E8, Recipes!$C$8:$C$16)*Recipes!$B$19+SUMIF(Recipes!$F$8:$F$17, Dashboard!E8, Recipes!$G$8:$G$17)*Recipes!$F$19+SUMIF(Recipes!$J$8:$J$15, Dashboard!E8, Recipes!$K$8:$K$15)*Recipes!$J$19+SUMIF(Recipes!$B$27:$B$37, Dashboard!E8, Recipes!$C$27:$C$37)*Recipes!$B$40+SUMIF(Recipes!$F$27:$F$36, Dashboard!E8, Recipes!$G$27:GT39)*Recipes!$F$40+SUMIF(Recipes!$J$27:$J$38, Dashboard!E8, Recipes!$K$27:$K$38)*Recipes!$J$40</f>
        <v>9</v>
      </c>
      <c r="G8" s="10">
        <v>11</v>
      </c>
      <c r="H8" s="15" t="s">
        <v>28</v>
      </c>
      <c r="J8" s="14" t="str">
        <v>Baking soda</v>
      </c>
      <c r="K8" s="30">
        <f>IF((F8-G8)/LEFT(VLOOKUP(J8, Table1[], 4, FALSE), FIND(" ", VLOOKUP(J8, Table1[], 4, FALSE), 1))&lt; 0, 0, ROUNDUP((F8-G8)/LEFT(VLOOKUP(J8, Table1[], 4, FALSE), FIND(" ", VLOOKUP(J8, Table1[], 4, FALSE), 1)), 0))</f>
        <v>0</v>
      </c>
      <c r="L8" s="15" t="str">
        <f>INDEX(Table1[Purchase as…],MATCH(J8,Table1[Possible Ingredients],0))</f>
        <v>1 lb box(es)</v>
      </c>
    </row>
    <row r="9" spans="1:12" ht="15.75" thickBot="1" x14ac:dyDescent="0.3">
      <c r="B9" s="14" t="str">
        <f>Recipes!B23</f>
        <v>Chocolate Croissants</v>
      </c>
      <c r="C9" s="32">
        <v>1</v>
      </c>
      <c r="E9" s="14" t="str">
        <v>Baking powder</v>
      </c>
      <c r="F9" s="41">
        <f>SUMIF(Recipes!$B$8:$B$16, Dashboard!E9, Recipes!$C$8:$C$16)*Recipes!$B$19+SUMIF(Recipes!$F$8:$F$17, Dashboard!E9, Recipes!$G$8:$G$17)*Recipes!$F$19+SUMIF(Recipes!$J$8:$J$15, Dashboard!E9, Recipes!$K$8:$K$15)*Recipes!$J$19+SUMIF(Recipes!$B$27:$B$37, Dashboard!E9, Recipes!$C$27:$C$37)*Recipes!$B$40+SUMIF(Recipes!$F$27:$F$36, Dashboard!E9, Recipes!$G$27:GT40)*Recipes!$F$40+SUMIF(Recipes!$J$27:$J$38, Dashboard!E9, Recipes!$K$27:$K$38)*Recipes!$J$40</f>
        <v>2</v>
      </c>
      <c r="G9" s="10">
        <v>0.5</v>
      </c>
      <c r="H9" s="15" t="s">
        <v>32</v>
      </c>
      <c r="J9" s="14" t="str">
        <v>Baking powder</v>
      </c>
      <c r="K9" s="30">
        <f>IF((F9-G9)/LEFT(VLOOKUP(J9, Table1[], 4, FALSE), FIND(" ", VLOOKUP(J9, Table1[], 4, FALSE), 1))&lt; 0, 0, ROUNDUP((F9-G9)/LEFT(VLOOKUP(J9, Table1[], 4, FALSE), FIND(" ", VLOOKUP(J9, Table1[], 4, FALSE), 1)), 0))</f>
        <v>1</v>
      </c>
      <c r="L9" s="15" t="str">
        <f>INDEX(Table1[Purchase as…],MATCH(J9,Table1[Possible Ingredients],0))</f>
        <v>8.1 oz container(s)</v>
      </c>
    </row>
    <row r="10" spans="1:12" ht="15.75" thickBot="1" x14ac:dyDescent="0.3">
      <c r="B10" s="14" t="str">
        <f>Recipes!F23</f>
        <v>Cinnamon Twists</v>
      </c>
      <c r="C10" s="32">
        <v>4</v>
      </c>
      <c r="E10" s="14" t="str">
        <v>Chocolate chips</v>
      </c>
      <c r="F10" s="41">
        <f>SUMIF(Recipes!$B$8:$B$16, Dashboard!E10, Recipes!$C$8:$C$16)*Recipes!$B$19+SUMIF(Recipes!$F$8:$F$17, Dashboard!E10, Recipes!$G$8:$G$17)*Recipes!$F$19+SUMIF(Recipes!$J$8:$J$15, Dashboard!E10, Recipes!$K$8:$K$15)*Recipes!$J$19+SUMIF(Recipes!$B$27:$B$37, Dashboard!E10, Recipes!$C$27:$C$37)*Recipes!$B$40+SUMIF(Recipes!$F$27:$F$36, Dashboard!E10, Recipes!$G$27:GT41)*Recipes!$F$40+SUMIF(Recipes!$J$27:$J$38, Dashboard!E10, Recipes!$K$27:$K$38)*Recipes!$J$40</f>
        <v>52</v>
      </c>
      <c r="G10" s="10">
        <v>6</v>
      </c>
      <c r="H10" s="15" t="s">
        <v>46</v>
      </c>
      <c r="J10" s="14" t="str">
        <v>Chocolate chips</v>
      </c>
      <c r="K10" s="30">
        <f>IF((F10-G10)/LEFT(VLOOKUP(J10, Table1[], 4, FALSE), FIND(" ", VLOOKUP(J10, Table1[], 4, FALSE), 1))&lt; 0, 0, ROUNDUP((F10-G10)/LEFT(VLOOKUP(J10, Table1[], 4, FALSE), FIND(" ", VLOOKUP(J10, Table1[], 4, FALSE), 1)), 0))</f>
        <v>4</v>
      </c>
      <c r="L10" s="15" t="str">
        <f>INDEX(Table1[Purchase as…],MATCH(J10,Table1[Possible Ingredients],0))</f>
        <v>bag(s)</v>
      </c>
    </row>
    <row r="11" spans="1:12" ht="15.75" thickBot="1" x14ac:dyDescent="0.3">
      <c r="B11" s="16" t="str">
        <f>Recipes!J23</f>
        <v>(new recipe)</v>
      </c>
      <c r="C11" s="33">
        <v>2</v>
      </c>
      <c r="E11" s="14" t="str">
        <v>Salt</v>
      </c>
      <c r="F11" s="41">
        <f>SUMIF(Recipes!$B$8:$B$16, Dashboard!E11, Recipes!$C$8:$C$16)*Recipes!$B$19+SUMIF(Recipes!$F$8:$F$17, Dashboard!E11, Recipes!$G$8:$G$17)*Recipes!$F$19+SUMIF(Recipes!$J$8:$J$15, Dashboard!E11, Recipes!$K$8:$K$15)*Recipes!$J$19+SUMIF(Recipes!$B$27:$B$37, Dashboard!E11, Recipes!$C$27:$C$37)*Recipes!$B$40+SUMIF(Recipes!$F$27:$F$36, Dashboard!E11, Recipes!$G$27:GT42)*Recipes!$F$40+SUMIF(Recipes!$J$27:$J$38, Dashboard!E11, Recipes!$K$27:$K$38)*Recipes!$J$40</f>
        <v>12.25</v>
      </c>
      <c r="G11" s="10">
        <v>10</v>
      </c>
      <c r="H11" s="15" t="s">
        <v>28</v>
      </c>
      <c r="J11" s="14" t="str">
        <v>Salt</v>
      </c>
      <c r="K11" s="30">
        <f>IF((F11-G11)/LEFT(VLOOKUP(J11, Table1[], 4, FALSE), FIND(" ", VLOOKUP(J11, Table1[], 4, FALSE), 1))&lt; 0, 0, ROUNDUP((F11-G11)/LEFT(VLOOKUP(J11, Table1[], 4, FALSE), FIND(" ", VLOOKUP(J11, Table1[], 4, FALSE), 1)), 0))</f>
        <v>1</v>
      </c>
      <c r="L11" s="15" t="str">
        <f>INDEX(Table1[Purchase as…],MATCH(J11,Table1[Possible Ingredients],0))</f>
        <v>26 oz container(s)</v>
      </c>
    </row>
    <row r="12" spans="1:12" ht="15.75" thickBot="1" x14ac:dyDescent="0.3">
      <c r="E12" s="14" t="str">
        <v>Brown sugar</v>
      </c>
      <c r="F12" s="41">
        <f>SUMIF(Recipes!$B$8:$B$16, Dashboard!E12, Recipes!$C$8:$C$16)*Recipes!$B$19+SUMIF(Recipes!$F$8:$F$17, Dashboard!E12, Recipes!$G$8:$G$17)*Recipes!$F$19+SUMIF(Recipes!$J$8:$J$15, Dashboard!E12, Recipes!$K$8:$K$15)*Recipes!$J$19+SUMIF(Recipes!$B$27:$B$37, Dashboard!E12, Recipes!$C$27:$C$37)*Recipes!$B$40+SUMIF(Recipes!$F$27:$F$36, Dashboard!E12, Recipes!$G$27:GT43)*Recipes!$F$40+SUMIF(Recipes!$J$27:$J$38, Dashboard!E12, Recipes!$K$27:$K$38)*Recipes!$J$40</f>
        <v>5</v>
      </c>
      <c r="G12" s="10">
        <v>4</v>
      </c>
      <c r="H12" s="15" t="s">
        <v>31</v>
      </c>
      <c r="J12" s="14" t="str">
        <v>Brown sugar</v>
      </c>
      <c r="K12" s="30">
        <f>IF((F12-G12)/LEFT(VLOOKUP(J12, Table1[], 4, FALSE), FIND(" ", VLOOKUP(J12, Table1[], 4, FALSE), 1))&lt; 0, 0, ROUNDUP((F12-G12)/LEFT(VLOOKUP(J12, Table1[], 4, FALSE), FIND(" ", VLOOKUP(J12, Table1[], 4, FALSE), 1)), 0))</f>
        <v>1</v>
      </c>
      <c r="L12" s="15" t="str">
        <f>INDEX(Table1[Purchase as…],MATCH(J12,Table1[Possible Ingredients],0))</f>
        <v>2 lb bag(s)</v>
      </c>
    </row>
    <row r="13" spans="1:12" ht="15.75" thickBot="1" x14ac:dyDescent="0.3">
      <c r="E13" s="14" t="str">
        <v>Molasses</v>
      </c>
      <c r="F13" s="41">
        <f>SUMIF(Recipes!$B$8:$B$16, Dashboard!E13, Recipes!$C$8:$C$16)*Recipes!$B$19+SUMIF(Recipes!$F$8:$F$17, Dashboard!E13, Recipes!$G$8:$G$17)*Recipes!$F$19+SUMIF(Recipes!$J$8:$J$15, Dashboard!E13, Recipes!$K$8:$K$15)*Recipes!$J$19+SUMIF(Recipes!$B$27:$B$37, Dashboard!E13, Recipes!$C$27:$C$37)*Recipes!$B$40+SUMIF(Recipes!$F$27:$F$36, Dashboard!E13, Recipes!$G$27:GT44)*Recipes!$F$40+SUMIF(Recipes!$J$27:$J$38, Dashboard!E13, Recipes!$K$27:$K$38)*Recipes!$J$40</f>
        <v>1.25</v>
      </c>
      <c r="G13" s="10">
        <v>1.5</v>
      </c>
      <c r="H13" s="15" t="s">
        <v>31</v>
      </c>
      <c r="J13" s="14" t="str">
        <v>Molasses</v>
      </c>
      <c r="K13" s="30">
        <f>IF((F13-G13)/LEFT(VLOOKUP(J13, Table1[], 4, FALSE), FIND(" ", VLOOKUP(J13, Table1[], 4, FALSE), 1))&lt; 0, 0, ROUNDUP((F13-G13)/LEFT(VLOOKUP(J13, Table1[], 4, FALSE), FIND(" ", VLOOKUP(J13, Table1[], 4, FALSE), 1)), 0))</f>
        <v>0</v>
      </c>
      <c r="L13" s="15" t="str">
        <f>INDEX(Table1[Purchase as…],MATCH(J13,Table1[Possible Ingredients],0))</f>
        <v>12 oz bottle</v>
      </c>
    </row>
    <row r="14" spans="1:12" ht="15.75" thickBot="1" x14ac:dyDescent="0.3">
      <c r="E14" s="14" t="str">
        <v>Butter</v>
      </c>
      <c r="F14" s="41">
        <f>SUMIF(Recipes!$B$8:$B$16, Dashboard!E14, Recipes!$C$8:$C$16)*Recipes!$B$19+SUMIF(Recipes!$F$8:$F$17, Dashboard!E14, Recipes!$G$8:$G$17)*Recipes!$F$19+SUMIF(Recipes!$J$8:$J$15, Dashboard!E14, Recipes!$K$8:$K$15)*Recipes!$J$19+SUMIF(Recipes!$B$27:$B$37, Dashboard!E14, Recipes!$C$27:$C$37)*Recipes!$B$40+SUMIF(Recipes!$F$27:$F$36, Dashboard!E14, Recipes!$G$27:GT45)*Recipes!$F$40+SUMIF(Recipes!$J$27:$J$38, Dashboard!E14, Recipes!$K$27:$K$38)*Recipes!$J$40</f>
        <v>11.5</v>
      </c>
      <c r="G14" s="10">
        <v>3</v>
      </c>
      <c r="H14" s="15" t="s">
        <v>31</v>
      </c>
      <c r="J14" s="14" t="str">
        <v>Butter</v>
      </c>
      <c r="K14" s="30">
        <f>IF((F14-G14)/LEFT(VLOOKUP(J14, Table1[], 4, FALSE), FIND(" ", VLOOKUP(J14, Table1[], 4, FALSE), 1))&lt; 0, 0, ROUNDUP((F14-G14)/LEFT(VLOOKUP(J14, Table1[], 4, FALSE), FIND(" ", VLOOKUP(J14, Table1[], 4, FALSE), 1)), 0))</f>
        <v>5</v>
      </c>
      <c r="L14" s="15" t="str">
        <f>INDEX(Table1[Purchase as…],MATCH(J14,Table1[Possible Ingredients],0))</f>
        <v>package(s)</v>
      </c>
    </row>
    <row r="15" spans="1:12" ht="15.75" thickBot="1" x14ac:dyDescent="0.3">
      <c r="E15" s="14" t="str">
        <v>Vanilla</v>
      </c>
      <c r="F15" s="41">
        <f>SUMIF(Recipes!$B$8:$B$16, Dashboard!E15, Recipes!$C$8:$C$16)*Recipes!$B$19+SUMIF(Recipes!$F$8:$F$17, Dashboard!E15, Recipes!$G$8:$G$17)*Recipes!$F$19+SUMIF(Recipes!$J$8:$J$15, Dashboard!E15, Recipes!$K$8:$K$15)*Recipes!$J$19+SUMIF(Recipes!$B$27:$B$37, Dashboard!E15, Recipes!$C$27:$C$37)*Recipes!$B$40+SUMIF(Recipes!$F$27:$F$36, Dashboard!E15, Recipes!$G$27:GT46)*Recipes!$F$40+SUMIF(Recipes!$J$27:$J$38, Dashboard!E15, Recipes!$K$27:$K$38)*Recipes!$J$40</f>
        <v>4</v>
      </c>
      <c r="G15" s="10">
        <v>2.5</v>
      </c>
      <c r="H15" s="15" t="s">
        <v>28</v>
      </c>
      <c r="J15" s="14" t="str">
        <v>Vanilla</v>
      </c>
      <c r="K15" s="30">
        <f>IF((F15-G15)/LEFT(VLOOKUP(J15, Table1[], 4, FALSE), FIND(" ", VLOOKUP(J15, Table1[], 4, FALSE), 1))&lt; 0, 0, ROUNDUP((F15-G15)/LEFT(VLOOKUP(J15, Table1[], 4, FALSE), FIND(" ", VLOOKUP(J15, Table1[], 4, FALSE), 1)), 0))</f>
        <v>1</v>
      </c>
      <c r="L15" s="15" t="str">
        <f>INDEX(Table1[Purchase as…],MATCH(J15,Table1[Possible Ingredients],0))</f>
        <v>bottle(s)</v>
      </c>
    </row>
    <row r="16" spans="1:12" ht="15.75" thickBot="1" x14ac:dyDescent="0.3">
      <c r="E16" s="14" t="str">
        <v>Cinnamon</v>
      </c>
      <c r="F16" s="41">
        <f>SUMIF(Recipes!$B$8:$B$16, Dashboard!E16, Recipes!$C$8:$C$16)*Recipes!$B$19+SUMIF(Recipes!$F$8:$F$17, Dashboard!E16, Recipes!$G$8:$G$17)*Recipes!$F$19+SUMIF(Recipes!$J$8:$J$15, Dashboard!E16, Recipes!$K$8:$K$15)*Recipes!$J$19+SUMIF(Recipes!$B$27:$B$37, Dashboard!E16, Recipes!$C$27:$C$37)*Recipes!$B$40+SUMIF(Recipes!$F$27:$F$36, Dashboard!E16, Recipes!$G$27:GT47)*Recipes!$F$40+SUMIF(Recipes!$J$27:$J$38, Dashboard!E16, Recipes!$K$27:$K$38)*Recipes!$J$40</f>
        <v>19.75</v>
      </c>
      <c r="G16" s="10">
        <v>5</v>
      </c>
      <c r="H16" s="15" t="s">
        <v>28</v>
      </c>
      <c r="J16" s="14" t="str">
        <v>Cinnamon</v>
      </c>
      <c r="K16" s="30">
        <f>IF((F16-G16)/LEFT(VLOOKUP(J16, Table1[], 4, FALSE), FIND(" ", VLOOKUP(J16, Table1[], 4, FALSE), 1))&lt; 0, 0, ROUNDUP((F16-G16)/LEFT(VLOOKUP(J16, Table1[], 4, FALSE), FIND(" ", VLOOKUP(J16, Table1[], 4, FALSE), 1)), 0))</f>
        <v>1</v>
      </c>
      <c r="L16" s="15" t="str">
        <f>INDEX(Table1[Purchase as…],MATCH(J16,Table1[Possible Ingredients],0))</f>
        <v>box(es)</v>
      </c>
    </row>
    <row r="17" spans="2:12" ht="15.75" thickBot="1" x14ac:dyDescent="0.3">
      <c r="E17" s="14" t="str">
        <v>Heavy cream</v>
      </c>
      <c r="F17" s="41">
        <f>SUMIF(Recipes!$B$8:$B$16, Dashboard!E17, Recipes!$C$8:$C$16)*Recipes!$B$19+SUMIF(Recipes!$F$8:$F$17, Dashboard!E17, Recipes!$G$8:$G$17)*Recipes!$F$19+SUMIF(Recipes!$J$8:$J$15, Dashboard!E17, Recipes!$K$8:$K$15)*Recipes!$J$19+SUMIF(Recipes!$B$27:$B$37, Dashboard!E17, Recipes!$C$27:$C$37)*Recipes!$B$40+SUMIF(Recipes!$F$27:$F$36, Dashboard!E17, Recipes!$G$27:GT48)*Recipes!$F$40+SUMIF(Recipes!$J$27:$J$38, Dashboard!E17, Recipes!$K$27:$K$38)*Recipes!$J$40</f>
        <v>5</v>
      </c>
      <c r="G17" s="10">
        <v>1.5</v>
      </c>
      <c r="H17" s="15" t="s">
        <v>31</v>
      </c>
      <c r="J17" s="14" t="str">
        <v>Heavy cream</v>
      </c>
      <c r="K17" s="30">
        <f>IF((F17-G17)/LEFT(VLOOKUP(J17, Table1[], 4, FALSE), FIND(" ", VLOOKUP(J17, Table1[], 4, FALSE), 1))&lt; 0, 0, ROUNDUP((F17-G17)/LEFT(VLOOKUP(J17, Table1[], 4, FALSE), FIND(" ", VLOOKUP(J17, Table1[], 4, FALSE), 1)), 0))</f>
        <v>2</v>
      </c>
      <c r="L17" s="15" t="str">
        <f>INDEX(Table1[Purchase as…],MATCH(J17,Table1[Possible Ingredients],0))</f>
        <v>pint(s)</v>
      </c>
    </row>
    <row r="18" spans="2:12" ht="15.75" thickBot="1" x14ac:dyDescent="0.3">
      <c r="E18" s="14" t="str">
        <v>Powdered sugar</v>
      </c>
      <c r="F18" s="41">
        <f>SUMIF(Recipes!$B$8:$B$16, Dashboard!E18, Recipes!$C$8:$C$16)*Recipes!$B$19+SUMIF(Recipes!$F$8:$F$17, Dashboard!E18, Recipes!$G$8:$G$17)*Recipes!$F$19+SUMIF(Recipes!$J$8:$J$15, Dashboard!E18, Recipes!$K$8:$K$15)*Recipes!$J$19+SUMIF(Recipes!$B$27:$B$37, Dashboard!E18, Recipes!$C$27:$C$37)*Recipes!$B$40+SUMIF(Recipes!$F$27:$F$36, Dashboard!E18, Recipes!$G$27:GT49)*Recipes!$F$40+SUMIF(Recipes!$J$27:$J$38, Dashboard!E18, Recipes!$K$27:$K$38)*Recipes!$J$40</f>
        <v>2.25</v>
      </c>
      <c r="G18" s="10">
        <v>2</v>
      </c>
      <c r="H18" s="15" t="s">
        <v>31</v>
      </c>
      <c r="J18" s="14" t="str">
        <v>Powdered sugar</v>
      </c>
      <c r="K18" s="30">
        <f>IF((F18-G18)/LEFT(VLOOKUP(J18, Table1[], 4, FALSE), FIND(" ", VLOOKUP(J18, Table1[], 4, FALSE), 1))&lt; 0, 0, ROUNDUP((F18-G18)/LEFT(VLOOKUP(J18, Table1[], 4, FALSE), FIND(" ", VLOOKUP(J18, Table1[], 4, FALSE), 1)), 0))</f>
        <v>1</v>
      </c>
      <c r="L18" s="15" t="str">
        <f>INDEX(Table1[Purchase as…],MATCH(J18,Table1[Possible Ingredients],0))</f>
        <v>2 lb bag(s)</v>
      </c>
    </row>
    <row r="19" spans="2:12" ht="15.75" thickBot="1" x14ac:dyDescent="0.3">
      <c r="E19" s="14" t="str">
        <v>Lemon juice</v>
      </c>
      <c r="F19" s="41">
        <f>SUMIF(Recipes!$B$8:$B$16, Dashboard!E19, Recipes!$C$8:$C$16)*Recipes!$B$19+SUMIF(Recipes!$F$8:$F$17, Dashboard!E19, Recipes!$G$8:$G$17)*Recipes!$F$19+SUMIF(Recipes!$J$8:$J$15, Dashboard!E19, Recipes!$K$8:$K$15)*Recipes!$J$19+SUMIF(Recipes!$B$27:$B$37, Dashboard!E19, Recipes!$C$27:$C$37)*Recipes!$B$40+SUMIF(Recipes!$F$27:$F$36, Dashboard!E19, Recipes!$G$27:GT50)*Recipes!$F$40+SUMIF(Recipes!$J$27:$J$38, Dashboard!E19, Recipes!$K$27:$K$38)*Recipes!$J$40</f>
        <v>8</v>
      </c>
      <c r="G19" s="10">
        <v>7</v>
      </c>
      <c r="H19" s="15" t="s">
        <v>32</v>
      </c>
      <c r="J19" s="14" t="str">
        <v>Lemon juice</v>
      </c>
      <c r="K19" s="30">
        <f>IF((F19-G19)/LEFT(VLOOKUP(J19, Table1[], 4, FALSE), FIND(" ", VLOOKUP(J19, Table1[], 4, FALSE), 1))&lt; 0, 0, ROUNDUP((F19-G19)/LEFT(VLOOKUP(J19, Table1[], 4, FALSE), FIND(" ", VLOOKUP(J19, Table1[], 4, FALSE), 1)), 0))</f>
        <v>1</v>
      </c>
      <c r="L19" s="15" t="str">
        <f>INDEX(Table1[Purchase as…],MATCH(J19,Table1[Possible Ingredients],0))</f>
        <v>bottle(s)</v>
      </c>
    </row>
    <row r="20" spans="2:12" ht="15.75" thickBot="1" x14ac:dyDescent="0.3">
      <c r="E20" s="14" t="str">
        <v>Lemon zest</v>
      </c>
      <c r="F20" s="41">
        <f>SUMIF(Recipes!$B$8:$B$16, Dashboard!E20, Recipes!$C$8:$C$16)*Recipes!$B$19+SUMIF(Recipes!$F$8:$F$17, Dashboard!E20, Recipes!$G$8:$G$17)*Recipes!$F$19+SUMIF(Recipes!$J$8:$J$15, Dashboard!E20, Recipes!$K$8:$K$15)*Recipes!$J$19+SUMIF(Recipes!$B$27:$B$37, Dashboard!E20, Recipes!$C$27:$C$37)*Recipes!$B$40+SUMIF(Recipes!$F$27:$F$36, Dashboard!E20, Recipes!$G$27:GT51)*Recipes!$F$40+SUMIF(Recipes!$J$27:$J$38, Dashboard!E20, Recipes!$K$27:$K$38)*Recipes!$J$40</f>
        <v>3</v>
      </c>
      <c r="G20" s="10">
        <v>2.5</v>
      </c>
      <c r="H20" s="15" t="s">
        <v>32</v>
      </c>
      <c r="J20" s="14" t="str">
        <v>Lemon zest</v>
      </c>
      <c r="K20" s="30">
        <f>IF((F20-G20)/LEFT(VLOOKUP(J20, Table1[], 4, FALSE), FIND(" ", VLOOKUP(J20, Table1[], 4, FALSE), 1))&lt; 0, 0, ROUNDUP((F20-G20)/LEFT(VLOOKUP(J20, Table1[], 4, FALSE), FIND(" ", VLOOKUP(J20, Table1[], 4, FALSE), 1)), 0))</f>
        <v>1</v>
      </c>
      <c r="L20" s="15" t="str">
        <f>INDEX(Table1[Purchase as…],MATCH(J20,Table1[Possible Ingredients],0))</f>
        <v>container(s)</v>
      </c>
    </row>
    <row r="21" spans="2:12" ht="15.75" thickBot="1" x14ac:dyDescent="0.3">
      <c r="E21" s="14" t="str">
        <v>Crystallized ginger</v>
      </c>
      <c r="F21" s="41">
        <f>SUMIF(Recipes!$B$8:$B$16, Dashboard!E21, Recipes!$C$8:$C$16)*Recipes!$B$19+SUMIF(Recipes!$F$8:$F$17, Dashboard!E21, Recipes!$G$8:$G$17)*Recipes!$F$19+SUMIF(Recipes!$J$8:$J$15, Dashboard!E21, Recipes!$K$8:$K$15)*Recipes!$J$19+SUMIF(Recipes!$B$27:$B$37, Dashboard!E21, Recipes!$C$27:$C$37)*Recipes!$B$40+SUMIF(Recipes!$F$27:$F$36, Dashboard!E21, Recipes!$G$27:GT52)*Recipes!$F$40+SUMIF(Recipes!$J$27:$J$38, Dashboard!E21, Recipes!$K$27:$K$38)*Recipes!$J$40</f>
        <v>2.5</v>
      </c>
      <c r="G21" s="10">
        <v>1.5</v>
      </c>
      <c r="H21" s="15" t="s">
        <v>31</v>
      </c>
      <c r="J21" s="14" t="str">
        <v>Crystallized ginger</v>
      </c>
      <c r="K21" s="30">
        <f>IF((F21-G21)/LEFT(VLOOKUP(J21, Table1[], 4, FALSE), FIND(" ", VLOOKUP(J21, Table1[], 4, FALSE), 1))&lt; 0, 0, ROUNDUP((F21-G21)/LEFT(VLOOKUP(J21, Table1[], 4, FALSE), FIND(" ", VLOOKUP(J21, Table1[], 4, FALSE), 1)), 0))</f>
        <v>1</v>
      </c>
      <c r="L21" s="15" t="str">
        <f>INDEX(Table1[Purchase as…],MATCH(J21,Table1[Possible Ingredients],0))</f>
        <v>bag(s)</v>
      </c>
    </row>
    <row r="22" spans="2:12" ht="15.75" thickBot="1" x14ac:dyDescent="0.3">
      <c r="E22" s="16" t="str">
        <v>Yeast</v>
      </c>
      <c r="F22" s="41">
        <f>SUMIF(Recipes!$B$8:$B$16, Dashboard!E22, Recipes!$C$8:$C$16)*Recipes!$B$19+SUMIF(Recipes!$F$8:$F$17, Dashboard!E22, Recipes!$G$8:$G$17)*Recipes!$F$19+SUMIF(Recipes!$J$8:$J$15, Dashboard!E22, Recipes!$K$8:$K$15)*Recipes!$J$19+SUMIF(Recipes!$B$27:$B$37, Dashboard!E22, Recipes!$C$27:$C$37)*Recipes!$B$40+SUMIF(Recipes!$F$27:$F$36, Dashboard!E22, Recipes!$G$27:GT53)*Recipes!$F$40+SUMIF(Recipes!$J$27:$J$38, Dashboard!E22, Recipes!$K$27:$K$38)*Recipes!$J$40</f>
        <v>2</v>
      </c>
      <c r="G22" s="27">
        <v>3</v>
      </c>
      <c r="H22" s="17" t="s">
        <v>46</v>
      </c>
      <c r="J22" s="16" t="str">
        <v>Yeast</v>
      </c>
      <c r="K22" s="30">
        <f>IF((F22-G22)/LEFT(VLOOKUP(J22, Table1[], 4, FALSE), FIND(" ", VLOOKUP(J22, Table1[], 4, FALSE), 1))&lt; 0, 0, ROUNDUP((F22-G22)/LEFT(VLOOKUP(J22, Table1[], 4, FALSE), FIND(" ", VLOOKUP(J22, Table1[], 4, FALSE), 1)), 0))</f>
        <v>0</v>
      </c>
      <c r="L22" s="17" t="str">
        <f>INDEX(Table1[Purchase as…],MATCH(J22,Table1[Possible Ingredients],0))</f>
        <v>packets</v>
      </c>
    </row>
    <row r="24" spans="2:12" x14ac:dyDescent="0.25">
      <c r="G24" t="s">
        <v>86</v>
      </c>
    </row>
    <row r="27" spans="2:12" x14ac:dyDescent="0.25">
      <c r="B27">
        <v>3923</v>
      </c>
    </row>
    <row r="30" spans="2:12" x14ac:dyDescent="0.25">
      <c r="F30" s="6"/>
    </row>
  </sheetData>
  <mergeCells count="2">
    <mergeCell ref="J4:L4"/>
    <mergeCell ref="B4:C4"/>
  </mergeCells>
  <dataValidations count="1">
    <dataValidation type="whole" allowBlank="1" showInputMessage="1" showErrorMessage="1" sqref="C6:C11" xr:uid="{5C831BDC-BDC8-48A1-8B6C-519A11356B8C}">
      <formula1>0</formula1>
      <formula2>20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rade">
                <anchor moveWithCells="1" sizeWithCells="1">
                  <from>
                    <xdr:col>1</xdr:col>
                    <xdr:colOff>800100</xdr:colOff>
                    <xdr:row>12</xdr:row>
                    <xdr:rowOff>152400</xdr:rowOff>
                  </from>
                  <to>
                    <xdr:col>1</xdr:col>
                    <xdr:colOff>1743075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5EEBB-EC6A-433E-93F3-CCEAD5F40776}">
  <sheetPr codeName="Sheet1"/>
  <dimension ref="A1:Q40"/>
  <sheetViews>
    <sheetView topLeftCell="M1" zoomScaleNormal="100" workbookViewId="0">
      <selection activeCell="Q7" sqref="Q7"/>
    </sheetView>
  </sheetViews>
  <sheetFormatPr defaultColWidth="8.85546875" defaultRowHeight="15" x14ac:dyDescent="0.25"/>
  <cols>
    <col min="1" max="1" width="15.7109375" customWidth="1"/>
    <col min="2" max="2" width="14.42578125" customWidth="1"/>
    <col min="3" max="3" width="9" style="6"/>
    <col min="4" max="4" width="10.42578125" bestFit="1" customWidth="1"/>
    <col min="6" max="6" width="15.140625" customWidth="1"/>
    <col min="7" max="7" width="9" style="6"/>
    <col min="8" max="8" width="11.7109375" bestFit="1" customWidth="1"/>
    <col min="9" max="9" width="9.28515625" customWidth="1"/>
    <col min="10" max="10" width="16.140625" customWidth="1"/>
    <col min="11" max="11" width="9" style="6"/>
    <col min="12" max="12" width="10" customWidth="1"/>
    <col min="14" max="14" width="34.28515625" customWidth="1"/>
    <col min="15" max="15" width="26.7109375" customWidth="1"/>
    <col min="16" max="16" width="18" customWidth="1"/>
    <col min="17" max="17" width="20.42578125" bestFit="1" customWidth="1"/>
  </cols>
  <sheetData>
    <row r="1" spans="1:17" x14ac:dyDescent="0.25">
      <c r="A1" s="5" t="s">
        <v>90</v>
      </c>
      <c r="D1" s="28" t="s">
        <v>85</v>
      </c>
    </row>
    <row r="2" spans="1:17" x14ac:dyDescent="0.25">
      <c r="A2" s="5"/>
      <c r="D2" s="28" t="s">
        <v>89</v>
      </c>
      <c r="E2" s="28"/>
      <c r="F2" s="28"/>
      <c r="G2" s="29"/>
      <c r="H2" s="28"/>
      <c r="I2" s="28"/>
      <c r="N2" t="s">
        <v>87</v>
      </c>
    </row>
    <row r="4" spans="1:17" ht="27.6" customHeight="1" x14ac:dyDescent="0.25">
      <c r="A4" s="7" t="s">
        <v>10</v>
      </c>
      <c r="B4" s="7" t="s">
        <v>11</v>
      </c>
      <c r="F4" s="7" t="s">
        <v>20</v>
      </c>
      <c r="J4" s="7" t="s">
        <v>21</v>
      </c>
      <c r="N4" s="7" t="s">
        <v>3</v>
      </c>
      <c r="O4" s="7" t="s">
        <v>39</v>
      </c>
      <c r="P4" s="7" t="s">
        <v>48</v>
      </c>
      <c r="Q4" s="7" t="s">
        <v>51</v>
      </c>
    </row>
    <row r="5" spans="1:17" x14ac:dyDescent="0.25">
      <c r="A5" s="7"/>
      <c r="B5" s="7"/>
      <c r="F5" s="7"/>
      <c r="J5" s="7"/>
      <c r="N5" t="s">
        <v>0</v>
      </c>
      <c r="O5" t="s">
        <v>40</v>
      </c>
      <c r="P5" t="s">
        <v>49</v>
      </c>
      <c r="Q5" t="s">
        <v>81</v>
      </c>
    </row>
    <row r="6" spans="1:17" x14ac:dyDescent="0.25">
      <c r="B6" t="s">
        <v>16</v>
      </c>
      <c r="C6" s="11">
        <v>15</v>
      </c>
      <c r="D6" t="s">
        <v>30</v>
      </c>
      <c r="F6" t="s">
        <v>17</v>
      </c>
      <c r="G6" s="11">
        <v>8</v>
      </c>
      <c r="H6" t="s">
        <v>34</v>
      </c>
      <c r="J6" t="s">
        <v>16</v>
      </c>
      <c r="K6">
        <v>15</v>
      </c>
      <c r="L6" t="s">
        <v>30</v>
      </c>
      <c r="N6" t="s">
        <v>1</v>
      </c>
      <c r="O6" t="s">
        <v>31</v>
      </c>
      <c r="P6" t="s">
        <v>53</v>
      </c>
      <c r="Q6" t="s">
        <v>52</v>
      </c>
    </row>
    <row r="7" spans="1:17" x14ac:dyDescent="0.25">
      <c r="N7" t="s">
        <v>2</v>
      </c>
      <c r="O7" t="s">
        <v>31</v>
      </c>
      <c r="P7" t="s">
        <v>53</v>
      </c>
      <c r="Q7" t="s">
        <v>50</v>
      </c>
    </row>
    <row r="8" spans="1:17" x14ac:dyDescent="0.25">
      <c r="A8" s="6">
        <f>C8*B19+G8*F19+C28*B40+G28*F40</f>
        <v>33</v>
      </c>
      <c r="B8" s="35" t="s">
        <v>2</v>
      </c>
      <c r="C8" s="39">
        <v>2.25</v>
      </c>
      <c r="D8" s="34" t="str">
        <f>VLOOKUP(B8, Table1[[Possible Ingredients]:[Units (cups, tablespoons, etc.)]], 2, FALSE)</f>
        <v>cup(s)</v>
      </c>
      <c r="F8" s="35" t="s">
        <v>2</v>
      </c>
      <c r="G8" s="39">
        <v>2</v>
      </c>
      <c r="H8" s="34" t="str">
        <f>VLOOKUP(F8, Table1[[Possible Ingredients]:[Units (cups, tablespoons, etc.)]], 2, FALSE)</f>
        <v>cup(s)</v>
      </c>
      <c r="J8" s="35" t="s">
        <v>14</v>
      </c>
      <c r="K8" s="39">
        <v>0.75</v>
      </c>
      <c r="L8" s="34" t="str">
        <f>VLOOKUP(J8, Table1[[Possible Ingredients]:[Units (cups, tablespoons, etc.)]], 2, FALSE)</f>
        <v>cup(s)</v>
      </c>
      <c r="N8" t="s">
        <v>4</v>
      </c>
      <c r="O8" t="s">
        <v>28</v>
      </c>
      <c r="P8" t="s">
        <v>54</v>
      </c>
      <c r="Q8" t="s">
        <v>66</v>
      </c>
    </row>
    <row r="9" spans="1:17" x14ac:dyDescent="0.25">
      <c r="B9" s="36" t="s">
        <v>4</v>
      </c>
      <c r="C9" s="10">
        <v>1</v>
      </c>
      <c r="D9" s="20" t="str">
        <f>VLOOKUP(B9, Table1[[Possible Ingredients]:[Units (cups, tablespoons, etc.)]], 2, FALSE)</f>
        <v>teaspoon(s)</v>
      </c>
      <c r="F9" s="36" t="s">
        <v>1</v>
      </c>
      <c r="G9" s="10">
        <v>0.5</v>
      </c>
      <c r="H9" s="20" t="str">
        <f>VLOOKUP(F9, Table1[[Possible Ingredients]:[Units (cups, tablespoons, etc.)]], 2, FALSE)</f>
        <v>cup(s)</v>
      </c>
      <c r="J9" s="36" t="s">
        <v>1</v>
      </c>
      <c r="K9" s="10">
        <v>1</v>
      </c>
      <c r="L9" s="20" t="str">
        <f>VLOOKUP(J9, Table1[[Possible Ingredients]:[Units (cups, tablespoons, etc.)]], 2, FALSE)</f>
        <v>cup(s)</v>
      </c>
      <c r="N9" t="s">
        <v>5</v>
      </c>
      <c r="O9" t="s">
        <v>32</v>
      </c>
      <c r="P9" t="s">
        <v>55</v>
      </c>
      <c r="Q9" t="s">
        <v>82</v>
      </c>
    </row>
    <row r="10" spans="1:17" x14ac:dyDescent="0.25">
      <c r="B10" s="36" t="s">
        <v>7</v>
      </c>
      <c r="C10" s="10">
        <v>0.5</v>
      </c>
      <c r="D10" s="20" t="str">
        <f>VLOOKUP(B10, Table1[[Possible Ingredients]:[Units (cups, tablespoons, etc.)]], 2, FALSE)</f>
        <v>teaspoon(s)</v>
      </c>
      <c r="F10" s="36" t="s">
        <v>5</v>
      </c>
      <c r="G10" s="10">
        <v>1</v>
      </c>
      <c r="H10" s="20" t="str">
        <f>VLOOKUP(F10, Table1[[Possible Ingredients]:[Units (cups, tablespoons, etc.)]], 2, FALSE)</f>
        <v>tablespoon(s)</v>
      </c>
      <c r="J10" s="36" t="s">
        <v>0</v>
      </c>
      <c r="K10" s="10">
        <v>1</v>
      </c>
      <c r="L10" s="20" t="str">
        <f>VLOOKUP(J10, Table1[[Possible Ingredients]:[Units (cups, tablespoons, etc.)]], 2, FALSE)</f>
        <v>(none)</v>
      </c>
      <c r="N10" t="s">
        <v>6</v>
      </c>
      <c r="O10" t="s">
        <v>46</v>
      </c>
      <c r="P10" t="s">
        <v>56</v>
      </c>
      <c r="Q10" t="s">
        <v>67</v>
      </c>
    </row>
    <row r="11" spans="1:17" x14ac:dyDescent="0.25">
      <c r="B11" s="36" t="s">
        <v>14</v>
      </c>
      <c r="C11" s="10">
        <v>0</v>
      </c>
      <c r="D11" s="20" t="str">
        <f>VLOOKUP(B11, Table1[[Possible Ingredients]:[Units (cups, tablespoons, etc.)]], 2, FALSE)</f>
        <v>cup(s)</v>
      </c>
      <c r="F11" s="36" t="s">
        <v>7</v>
      </c>
      <c r="G11" s="10">
        <v>0.5</v>
      </c>
      <c r="H11" s="20" t="str">
        <f>VLOOKUP(F11, Table1[[Possible Ingredients]:[Units (cups, tablespoons, etc.)]], 2, FALSE)</f>
        <v>teaspoon(s)</v>
      </c>
      <c r="J11" s="36" t="s">
        <v>22</v>
      </c>
      <c r="K11" s="10">
        <v>0.25</v>
      </c>
      <c r="L11" s="20" t="str">
        <f>VLOOKUP(J11, Table1[[Possible Ingredients]:[Units (cups, tablespoons, etc.)]], 2, FALSE)</f>
        <v>cup(s)</v>
      </c>
      <c r="N11" t="s">
        <v>7</v>
      </c>
      <c r="O11" t="s">
        <v>28</v>
      </c>
      <c r="P11" t="s">
        <v>57</v>
      </c>
      <c r="Q11" t="s">
        <v>68</v>
      </c>
    </row>
    <row r="12" spans="1:17" x14ac:dyDescent="0.25">
      <c r="B12" s="36" t="s">
        <v>1</v>
      </c>
      <c r="C12" s="10">
        <v>0.75</v>
      </c>
      <c r="D12" s="20" t="str">
        <f>VLOOKUP(B12, Table1[[Possible Ingredients]:[Units (cups, tablespoons, etc.)]], 2, FALSE)</f>
        <v>cup(s)</v>
      </c>
      <c r="F12" s="36" t="s">
        <v>14</v>
      </c>
      <c r="G12" s="10">
        <v>0.5</v>
      </c>
      <c r="H12" s="20" t="str">
        <f>VLOOKUP(F12, Table1[[Possible Ingredients]:[Units (cups, tablespoons, etc.)]], 2, FALSE)</f>
        <v>cup(s)</v>
      </c>
      <c r="J12" s="36" t="s">
        <v>4</v>
      </c>
      <c r="K12" s="10">
        <v>1</v>
      </c>
      <c r="L12" s="20" t="str">
        <f>VLOOKUP(J12, Table1[[Possible Ingredients]:[Units (cups, tablespoons, etc.)]], 2, FALSE)</f>
        <v>teaspoon(s)</v>
      </c>
      <c r="N12" t="s">
        <v>8</v>
      </c>
      <c r="O12" t="s">
        <v>31</v>
      </c>
      <c r="P12" t="s">
        <v>58</v>
      </c>
      <c r="Q12" t="s">
        <v>59</v>
      </c>
    </row>
    <row r="13" spans="1:17" x14ac:dyDescent="0.25">
      <c r="B13" s="36" t="s">
        <v>8</v>
      </c>
      <c r="C13" s="10">
        <v>0.75</v>
      </c>
      <c r="D13" s="20" t="str">
        <f>VLOOKUP(B13, Table1[[Possible Ingredients]:[Units (cups, tablespoons, etc.)]], 2, FALSE)</f>
        <v>cup(s)</v>
      </c>
      <c r="F13" s="36" t="s">
        <v>0</v>
      </c>
      <c r="G13" s="10">
        <v>1</v>
      </c>
      <c r="H13" s="20" t="str">
        <f>VLOOKUP(F13, Table1[[Possible Ingredients]:[Units (cups, tablespoons, etc.)]], 2, FALSE)</f>
        <v>(none)</v>
      </c>
      <c r="J13" s="36" t="s">
        <v>23</v>
      </c>
      <c r="K13" s="10">
        <v>0.75</v>
      </c>
      <c r="L13" s="20" t="str">
        <f>VLOOKUP(J13, Table1[[Possible Ingredients]:[Units (cups, tablespoons, etc.)]], 2, FALSE)</f>
        <v>teaspoon(s)</v>
      </c>
      <c r="N13" t="s">
        <v>22</v>
      </c>
      <c r="O13" t="s">
        <v>31</v>
      </c>
      <c r="P13" t="s">
        <v>60</v>
      </c>
      <c r="Q13" t="s">
        <v>61</v>
      </c>
    </row>
    <row r="14" spans="1:17" x14ac:dyDescent="0.25">
      <c r="B14" s="36" t="s">
        <v>0</v>
      </c>
      <c r="C14" s="10">
        <v>2</v>
      </c>
      <c r="D14" s="20" t="str">
        <f>VLOOKUP(B14, Table1[[Possible Ingredients]:[Units (cups, tablespoons, etc.)]], 2, FALSE)</f>
        <v>(none)</v>
      </c>
      <c r="F14" s="36" t="s">
        <v>41</v>
      </c>
      <c r="G14" s="10">
        <v>0.5</v>
      </c>
      <c r="H14" s="20" t="str">
        <f>VLOOKUP(F14, Table1[[Possible Ingredients]:[Units (cups, tablespoons, etc.)]], 2, FALSE)</f>
        <v>cup(s)</v>
      </c>
      <c r="J14" s="36" t="s">
        <v>7</v>
      </c>
      <c r="K14" s="10">
        <v>0.25</v>
      </c>
      <c r="L14" s="20" t="str">
        <f>VLOOKUP(J14, Table1[[Possible Ingredients]:[Units (cups, tablespoons, etc.)]], 2, FALSE)</f>
        <v>teaspoon(s)</v>
      </c>
      <c r="N14" t="s">
        <v>14</v>
      </c>
      <c r="O14" t="s">
        <v>31</v>
      </c>
      <c r="P14" t="s">
        <v>62</v>
      </c>
      <c r="Q14" t="s">
        <v>63</v>
      </c>
    </row>
    <row r="15" spans="1:17" x14ac:dyDescent="0.25">
      <c r="B15" s="36" t="s">
        <v>15</v>
      </c>
      <c r="C15" s="10">
        <v>1</v>
      </c>
      <c r="D15" s="20" t="str">
        <f>VLOOKUP(B15, Table1[[Possible Ingredients]:[Units (cups, tablespoons, etc.)]], 2, FALSE)</f>
        <v>teaspoon(s)</v>
      </c>
      <c r="F15" s="36" t="s">
        <v>42</v>
      </c>
      <c r="G15" s="10">
        <v>4</v>
      </c>
      <c r="H15" s="20" t="str">
        <f>VLOOKUP(F15, Table1[[Possible Ingredients]:[Units (cups, tablespoons, etc.)]], 2, FALSE)</f>
        <v>tablespoon(s)</v>
      </c>
      <c r="J15" s="37" t="s">
        <v>24</v>
      </c>
      <c r="K15" s="40">
        <v>0.5</v>
      </c>
      <c r="L15" s="21" t="str">
        <f>VLOOKUP(J15, Table1[[Possible Ingredients]:[Units (cups, tablespoons, etc.)]], 2, FALSE)</f>
        <v>cup(s)</v>
      </c>
      <c r="N15" t="s">
        <v>15</v>
      </c>
      <c r="O15" t="s">
        <v>28</v>
      </c>
      <c r="P15" t="s">
        <v>64</v>
      </c>
      <c r="Q15" t="s">
        <v>65</v>
      </c>
    </row>
    <row r="16" spans="1:17" x14ac:dyDescent="0.25">
      <c r="B16" s="37" t="s">
        <v>6</v>
      </c>
      <c r="C16" s="40">
        <v>12</v>
      </c>
      <c r="D16" s="21" t="str">
        <f>VLOOKUP(B16, Table1[[Possible Ingredients]:[Units (cups, tablespoons, etc.)]], 2, FALSE)</f>
        <v>ounce(s)</v>
      </c>
      <c r="F16" s="36" t="s">
        <v>44</v>
      </c>
      <c r="G16" s="10">
        <v>1.5</v>
      </c>
      <c r="H16" s="20" t="str">
        <f>VLOOKUP(F16, Table1[[Possible Ingredients]:[Units (cups, tablespoons, etc.)]], 2, FALSE)</f>
        <v>tablespoon(s)</v>
      </c>
      <c r="K16" s="10"/>
      <c r="N16" t="s">
        <v>23</v>
      </c>
      <c r="O16" t="s">
        <v>28</v>
      </c>
      <c r="P16" t="s">
        <v>69</v>
      </c>
      <c r="Q16" t="s">
        <v>70</v>
      </c>
    </row>
    <row r="17" spans="1:17" x14ac:dyDescent="0.25">
      <c r="C17" s="10"/>
      <c r="F17" s="37" t="s">
        <v>43</v>
      </c>
      <c r="G17" s="40">
        <v>1</v>
      </c>
      <c r="H17" s="21" t="str">
        <f>VLOOKUP(F17, Table1[[Possible Ingredients]:[Units (cups, tablespoons, etc.)]], 2, FALSE)</f>
        <v>cup(s)</v>
      </c>
      <c r="K17" s="10"/>
      <c r="N17" t="s">
        <v>41</v>
      </c>
      <c r="O17" t="s">
        <v>31</v>
      </c>
      <c r="P17" t="s">
        <v>71</v>
      </c>
      <c r="Q17" t="s">
        <v>72</v>
      </c>
    </row>
    <row r="18" spans="1:17" ht="15.75" thickBot="1" x14ac:dyDescent="0.3">
      <c r="C18" s="10"/>
      <c r="G18" s="10"/>
      <c r="K18" s="10"/>
      <c r="N18" t="s">
        <v>43</v>
      </c>
      <c r="O18" t="s">
        <v>31</v>
      </c>
      <c r="P18" t="s">
        <v>58</v>
      </c>
      <c r="Q18" t="s">
        <v>73</v>
      </c>
    </row>
    <row r="19" spans="1:17" ht="15.75" thickBot="1" x14ac:dyDescent="0.3">
      <c r="A19" s="5" t="s">
        <v>47</v>
      </c>
      <c r="B19" s="8">
        <f>Dashboard!C6</f>
        <v>4</v>
      </c>
      <c r="C19"/>
      <c r="F19" s="8">
        <f>Dashboard!C7</f>
        <v>2</v>
      </c>
      <c r="G19"/>
      <c r="J19" s="8">
        <f>Dashboard!C8</f>
        <v>5</v>
      </c>
      <c r="K19" s="10"/>
      <c r="N19" t="s">
        <v>42</v>
      </c>
      <c r="O19" t="s">
        <v>32</v>
      </c>
      <c r="P19" t="s">
        <v>64</v>
      </c>
      <c r="Q19" t="s">
        <v>74</v>
      </c>
    </row>
    <row r="20" spans="1:17" x14ac:dyDescent="0.25">
      <c r="N20" t="s">
        <v>44</v>
      </c>
      <c r="O20" t="s">
        <v>32</v>
      </c>
      <c r="P20" t="s">
        <v>76</v>
      </c>
      <c r="Q20" t="s">
        <v>75</v>
      </c>
    </row>
    <row r="21" spans="1:17" x14ac:dyDescent="0.25">
      <c r="N21" t="s">
        <v>45</v>
      </c>
      <c r="O21" t="s">
        <v>31</v>
      </c>
      <c r="P21" t="s">
        <v>56</v>
      </c>
      <c r="Q21" t="s">
        <v>77</v>
      </c>
    </row>
    <row r="22" spans="1:17" ht="15.75" thickBot="1" x14ac:dyDescent="0.3">
      <c r="J22" s="5" t="s">
        <v>33</v>
      </c>
      <c r="N22" t="s">
        <v>27</v>
      </c>
      <c r="O22" t="s">
        <v>46</v>
      </c>
      <c r="P22" t="s">
        <v>78</v>
      </c>
      <c r="Q22" t="s">
        <v>79</v>
      </c>
    </row>
    <row r="23" spans="1:17" ht="30.75" thickBot="1" x14ac:dyDescent="0.3">
      <c r="A23" s="7" t="s">
        <v>10</v>
      </c>
      <c r="B23" s="7" t="s">
        <v>25</v>
      </c>
      <c r="F23" s="7" t="s">
        <v>29</v>
      </c>
      <c r="J23" s="9" t="s">
        <v>37</v>
      </c>
    </row>
    <row r="24" spans="1:17" ht="15.75" thickBot="1" x14ac:dyDescent="0.3">
      <c r="A24" s="4"/>
    </row>
    <row r="25" spans="1:17" ht="15.75" thickBot="1" x14ac:dyDescent="0.3">
      <c r="B25" t="s">
        <v>26</v>
      </c>
      <c r="C25">
        <v>16</v>
      </c>
      <c r="D25" t="s">
        <v>35</v>
      </c>
      <c r="F25" t="s">
        <v>16</v>
      </c>
      <c r="G25">
        <v>48</v>
      </c>
      <c r="H25" t="s">
        <v>36</v>
      </c>
      <c r="J25" t="s">
        <v>16</v>
      </c>
      <c r="K25" s="12"/>
      <c r="L25" s="13" t="s">
        <v>38</v>
      </c>
    </row>
    <row r="27" spans="1:17" x14ac:dyDescent="0.25">
      <c r="B27" s="35" t="s">
        <v>14</v>
      </c>
      <c r="C27" s="39">
        <v>0.25</v>
      </c>
      <c r="D27" s="34" t="str">
        <f>VLOOKUP(B27, Table1[[Possible Ingredients]:[Units (cups, tablespoons, etc.)]], 2, FALSE)</f>
        <v>cup(s)</v>
      </c>
      <c r="F27" s="35" t="s">
        <v>27</v>
      </c>
      <c r="G27" s="39">
        <v>0.25</v>
      </c>
      <c r="H27" s="34" t="str">
        <f>VLOOKUP(F27, Table1[[Possible Ingredients]:[Units (cups, tablespoons, etc.)]], 2, FALSE)</f>
        <v>ounce(s)</v>
      </c>
      <c r="J27" s="1" t="s">
        <v>14</v>
      </c>
      <c r="K27" s="10">
        <v>1</v>
      </c>
      <c r="L27" s="38" t="str">
        <f>VLOOKUP(J27, Table1[[Possible Ingredients]:[Units (cups, tablespoons, etc.)]], 2, FALSE)</f>
        <v>cup(s)</v>
      </c>
      <c r="M27" t="s">
        <v>91</v>
      </c>
    </row>
    <row r="28" spans="1:17" x14ac:dyDescent="0.25">
      <c r="B28" s="36" t="s">
        <v>2</v>
      </c>
      <c r="C28" s="10">
        <v>4</v>
      </c>
      <c r="D28" s="20" t="str">
        <f>VLOOKUP(B28, Table1[[Possible Ingredients]:[Units (cups, tablespoons, etc.)]], 2, FALSE)</f>
        <v>cup(s)</v>
      </c>
      <c r="F28" s="36" t="s">
        <v>2</v>
      </c>
      <c r="G28" s="10">
        <v>4</v>
      </c>
      <c r="H28" s="20" t="str">
        <f>VLOOKUP(F28, Table1[[Possible Ingredients]:[Units (cups, tablespoons, etc.)]], 2, FALSE)</f>
        <v>cup(s)</v>
      </c>
      <c r="J28" s="2"/>
      <c r="K28" s="10"/>
      <c r="L28" t="s">
        <v>93</v>
      </c>
      <c r="M28" t="s">
        <v>92</v>
      </c>
    </row>
    <row r="29" spans="1:17" x14ac:dyDescent="0.25">
      <c r="B29" s="36" t="s">
        <v>1</v>
      </c>
      <c r="C29" s="10">
        <v>0.25</v>
      </c>
      <c r="D29" s="20" t="str">
        <f>VLOOKUP(B29, Table1[[Possible Ingredients]:[Units (cups, tablespoons, etc.)]], 2, FALSE)</f>
        <v>cup(s)</v>
      </c>
      <c r="F29" s="36" t="s">
        <v>1</v>
      </c>
      <c r="G29" s="10">
        <v>0.25</v>
      </c>
      <c r="H29" s="20" t="str">
        <f>VLOOKUP(F29, Table1[[Possible Ingredients]:[Units (cups, tablespoons, etc.)]], 2, FALSE)</f>
        <v>cup(s)</v>
      </c>
      <c r="J29" s="2"/>
      <c r="K29" s="10"/>
      <c r="L29" t="str">
        <f>_xlfn.IFNA(INDEX(Table1[Units (cups, tablespoons, etc.)],MATCH(J29,Table1[Possible Ingredients],0)),"")</f>
        <v/>
      </c>
    </row>
    <row r="30" spans="1:17" x14ac:dyDescent="0.25">
      <c r="B30" s="36" t="s">
        <v>7</v>
      </c>
      <c r="C30" s="10">
        <v>2</v>
      </c>
      <c r="D30" s="20" t="str">
        <f>VLOOKUP(B30, Table1[[Possible Ingredients]:[Units (cups, tablespoons, etc.)]], 2, FALSE)</f>
        <v>teaspoon(s)</v>
      </c>
      <c r="F30" s="36" t="s">
        <v>7</v>
      </c>
      <c r="G30" s="10">
        <v>1.5</v>
      </c>
      <c r="H30" s="20" t="str">
        <f>VLOOKUP(F30, Table1[[Possible Ingredients]:[Units (cups, tablespoons, etc.)]], 2, FALSE)</f>
        <v>teaspoon(s)</v>
      </c>
      <c r="J30" s="2"/>
      <c r="K30" s="10"/>
      <c r="L30" t="str">
        <f>_xlfn.IFNA(INDEX(Table1[Units (cups, tablespoons, etc.)],MATCH(J30,Table1[Possible Ingredients],0)),"")</f>
        <v/>
      </c>
    </row>
    <row r="31" spans="1:17" x14ac:dyDescent="0.25">
      <c r="B31" s="36" t="s">
        <v>27</v>
      </c>
      <c r="C31" s="10">
        <v>1</v>
      </c>
      <c r="D31" s="20" t="str">
        <f>VLOOKUP(B31, Table1[[Possible Ingredients]:[Units (cups, tablespoons, etc.)]], 2, FALSE)</f>
        <v>ounce(s)</v>
      </c>
      <c r="F31" s="36" t="s">
        <v>18</v>
      </c>
      <c r="G31" s="10">
        <v>0.5</v>
      </c>
      <c r="H31" s="20" t="str">
        <f>VLOOKUP(F31, Table1[[Possible Ingredients]:[Units (cups, tablespoons, etc.)]], 2, FALSE)</f>
        <v>cup(s)</v>
      </c>
      <c r="J31" s="2"/>
      <c r="K31" s="10"/>
      <c r="L31" t="str">
        <f>_xlfn.IFNA(INDEX(Table1[Units (cups, tablespoons, etc.)],MATCH(J31,Table1[Possible Ingredients],0)),"")</f>
        <v/>
      </c>
    </row>
    <row r="32" spans="1:17" x14ac:dyDescent="0.25">
      <c r="B32" s="36" t="s">
        <v>6</v>
      </c>
      <c r="C32" s="10">
        <v>4</v>
      </c>
      <c r="D32" s="20" t="str">
        <f>VLOOKUP(B32, Table1[[Possible Ingredients]:[Units (cups, tablespoons, etc.)]], 2, FALSE)</f>
        <v>ounce(s)</v>
      </c>
      <c r="F32" s="36" t="s">
        <v>14</v>
      </c>
      <c r="G32" s="10">
        <v>0.25</v>
      </c>
      <c r="H32" s="20" t="str">
        <f>VLOOKUP(F32, Table1[[Possible Ingredients]:[Units (cups, tablespoons, etc.)]], 2, FALSE)</f>
        <v>cup(s)</v>
      </c>
      <c r="J32" s="2"/>
      <c r="K32" s="10"/>
      <c r="L32" t="str">
        <f>_xlfn.IFNA(INDEX(Table1[Units (cups, tablespoons, etc.)],MATCH(J32,Table1[Possible Ingredients],0)),"")</f>
        <v/>
      </c>
    </row>
    <row r="33" spans="1:12" x14ac:dyDescent="0.25">
      <c r="B33" s="36" t="s">
        <v>19</v>
      </c>
      <c r="C33" s="10">
        <v>0.25</v>
      </c>
      <c r="D33" s="20" t="str">
        <f>VLOOKUP(B33, Table1[[Possible Ingredients]:[Units (cups, tablespoons, etc.)]], 2, FALSE)</f>
        <v>cup(s)</v>
      </c>
      <c r="F33" s="36" t="s">
        <v>0</v>
      </c>
      <c r="G33" s="10">
        <v>1</v>
      </c>
      <c r="H33" s="20" t="str">
        <f>VLOOKUP(F33, Table1[[Possible Ingredients]:[Units (cups, tablespoons, etc.)]], 2, FALSE)</f>
        <v>(none)</v>
      </c>
      <c r="J33" s="2"/>
      <c r="K33" s="10"/>
      <c r="L33" t="str">
        <f>_xlfn.IFNA(INDEX(Table1[Units (cups, tablespoons, etc.)],MATCH(J33,Table1[Possible Ingredients],0)),"")</f>
        <v/>
      </c>
    </row>
    <row r="34" spans="1:12" x14ac:dyDescent="0.25">
      <c r="B34" s="36" t="s">
        <v>14</v>
      </c>
      <c r="C34" s="10">
        <v>1.5</v>
      </c>
      <c r="D34" s="20" t="str">
        <f>VLOOKUP(B34, Table1[[Possible Ingredients]:[Units (cups, tablespoons, etc.)]], 2, FALSE)</f>
        <v>cup(s)</v>
      </c>
      <c r="F34" s="36" t="s">
        <v>14</v>
      </c>
      <c r="G34" s="10">
        <v>0.5</v>
      </c>
      <c r="H34" s="20" t="str">
        <f>VLOOKUP(F34, Table1[[Possible Ingredients]:[Units (cups, tablespoons, etc.)]], 2, FALSE)</f>
        <v>cup(s)</v>
      </c>
      <c r="J34" s="2"/>
      <c r="K34" s="10"/>
      <c r="L34" t="str">
        <f>_xlfn.IFNA(INDEX(Table1[Units (cups, tablespoons, etc.)],MATCH(J34,Table1[Possible Ingredients],0)),"")</f>
        <v/>
      </c>
    </row>
    <row r="35" spans="1:12" x14ac:dyDescent="0.25">
      <c r="B35" s="36" t="s">
        <v>2</v>
      </c>
      <c r="C35" s="10">
        <v>2</v>
      </c>
      <c r="D35" s="20" t="str">
        <f>VLOOKUP(B35, Table1[[Possible Ingredients]:[Units (cups, tablespoons, etc.)]], 2, FALSE)</f>
        <v>cup(s)</v>
      </c>
      <c r="F35" s="36" t="s">
        <v>8</v>
      </c>
      <c r="G35" s="10">
        <v>0.5</v>
      </c>
      <c r="H35" s="20" t="str">
        <f>VLOOKUP(F35, Table1[[Possible Ingredients]:[Units (cups, tablespoons, etc.)]], 2, FALSE)</f>
        <v>cup(s)</v>
      </c>
      <c r="J35" s="2"/>
      <c r="K35" s="10"/>
      <c r="L35" t="str">
        <f>_xlfn.IFNA(INDEX(Table1[Units (cups, tablespoons, etc.)],MATCH(J35,Table1[Possible Ingredients],0)),"")</f>
        <v/>
      </c>
    </row>
    <row r="36" spans="1:12" x14ac:dyDescent="0.25">
      <c r="B36" s="36" t="s">
        <v>0</v>
      </c>
      <c r="C36" s="10">
        <v>1</v>
      </c>
      <c r="D36" s="20" t="str">
        <f>VLOOKUP(B36, Table1[[Possible Ingredients]:[Units (cups, tablespoons, etc.)]], 2, FALSE)</f>
        <v>(none)</v>
      </c>
      <c r="F36" s="37" t="s">
        <v>23</v>
      </c>
      <c r="G36" s="40">
        <v>4</v>
      </c>
      <c r="H36" s="21" t="str">
        <f>VLOOKUP(F36, Table1[[Possible Ingredients]:[Units (cups, tablespoons, etc.)]], 2, FALSE)</f>
        <v>teaspoon(s)</v>
      </c>
      <c r="J36" s="2"/>
      <c r="K36" s="10"/>
      <c r="L36" t="str">
        <f>_xlfn.IFNA(INDEX(Table1[Units (cups, tablespoons, etc.)],MATCH(J36,Table1[Possible Ingredients],0)),"")</f>
        <v/>
      </c>
    </row>
    <row r="37" spans="1:12" x14ac:dyDescent="0.25">
      <c r="B37" s="37" t="s">
        <v>18</v>
      </c>
      <c r="C37" s="40">
        <v>2</v>
      </c>
      <c r="D37" s="21" t="str">
        <f>VLOOKUP(B37, Table1[[Possible Ingredients]:[Units (cups, tablespoons, etc.)]], 2, FALSE)</f>
        <v>cup(s)</v>
      </c>
      <c r="J37" s="2"/>
      <c r="K37" s="10"/>
      <c r="L37" t="str">
        <f>_xlfn.IFNA(INDEX(Table1[Units (cups, tablespoons, etc.)],MATCH(J37,Table1[Possible Ingredients],0)),"")</f>
        <v/>
      </c>
    </row>
    <row r="38" spans="1:12" x14ac:dyDescent="0.25">
      <c r="C38" s="10"/>
      <c r="G38" s="10"/>
      <c r="J38" s="3"/>
      <c r="K38" s="10"/>
      <c r="L38" t="str">
        <f>_xlfn.IFNA(INDEX(Table1[Units (cups, tablespoons, etc.)],MATCH(J38,Table1[Possible Ingredients],0)),"")</f>
        <v/>
      </c>
    </row>
    <row r="39" spans="1:12" ht="15.75" thickBot="1" x14ac:dyDescent="0.3"/>
    <row r="40" spans="1:12" ht="15.75" thickBot="1" x14ac:dyDescent="0.3">
      <c r="A40" s="5" t="s">
        <v>47</v>
      </c>
      <c r="B40" s="8">
        <f>Dashboard!C9</f>
        <v>1</v>
      </c>
      <c r="C40"/>
      <c r="F40" s="8">
        <f>Dashboard!C10</f>
        <v>4</v>
      </c>
      <c r="G40"/>
      <c r="J40" s="8">
        <f>Dashboard!C11</f>
        <v>2</v>
      </c>
    </row>
  </sheetData>
  <dataValidations count="2">
    <dataValidation type="list" allowBlank="1" showInputMessage="1" showErrorMessage="1" sqref="J27:J38 B27:B37 F27:F36 B8:B16 F8:F17 J8:J15" xr:uid="{AA031061-2E47-45E5-9506-59952F32D24A}">
      <formula1>$N$5:$N$22</formula1>
    </dataValidation>
    <dataValidation type="list" allowBlank="1" showInputMessage="1" showErrorMessage="1" sqref="M8:M15" xr:uid="{9C915F60-776C-4AF8-B258-CBAACDB6F9AA}">
      <formula1>#REF!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Recipes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Francisco Javier Ordoñez Araujo</cp:lastModifiedBy>
  <dcterms:created xsi:type="dcterms:W3CDTF">2021-01-26T02:50:36Z</dcterms:created>
  <dcterms:modified xsi:type="dcterms:W3CDTF">2024-06-22T22:29:21Z</dcterms:modified>
</cp:coreProperties>
</file>